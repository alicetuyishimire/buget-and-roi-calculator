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bookViews>
    <workbookView xWindow="0" yWindow="0" windowWidth="15345" windowHeight="4485" firstSheet="5" activeTab="7"/>
  </bookViews>
  <sheets>
    <sheet name="Sheet2" sheetId="2" r:id="rId1"/>
    <sheet name="Sheet3" sheetId="3" r:id="rId2"/>
    <sheet name="Sheet4" sheetId="4" r:id="rId3"/>
    <sheet name="Sheet5" sheetId="5" r:id="rId4"/>
    <sheet name="Sheet6" sheetId="6" r:id="rId5"/>
    <sheet name="Sheet7" sheetId="7" r:id="rId6"/>
    <sheet name="Sheet8" sheetId="8" r:id="rId7"/>
    <sheet name="Sheet1" sheetId="1" r:id="rId8"/>
  </sheets>
  <definedNames>
    <definedName name="_xlchart.0" hidden="1">(Sheet1!$C$1,Sheet1!$D$1)</definedName>
    <definedName name="_xlchart.1" hidden="1">Sheet1!$A$1:$B$1</definedName>
    <definedName name="_xlchart.2" hidden="1">(Sheet1!$C$1,Sheet1!$D$1)</definedName>
    <definedName name="_xlchart.3" hidden="1">Sheet1!$A$1:$B$1</definedName>
  </definedNames>
  <calcPr calcId="162913"/>
  <pivotCaches>
    <pivotCache cacheId="25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" i="1" l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A2" i="1"/>
  <c r="B29" i="1"/>
  <c r="B28" i="1"/>
  <c r="B27" i="1"/>
  <c r="B26" i="1"/>
  <c r="B25" i="1"/>
  <c r="B24" i="1"/>
  <c r="B23" i="1"/>
</calcChain>
</file>

<file path=xl/sharedStrings.xml><?xml version="1.0" encoding="utf-8"?>
<sst xmlns="http://schemas.openxmlformats.org/spreadsheetml/2006/main" count="120" uniqueCount="45">
  <si>
    <t>campain</t>
  </si>
  <si>
    <t>channel</t>
  </si>
  <si>
    <t>budget</t>
  </si>
  <si>
    <t>revenue</t>
  </si>
  <si>
    <t>leads</t>
  </si>
  <si>
    <t>conversions</t>
  </si>
  <si>
    <t>facebook</t>
  </si>
  <si>
    <t>google ads</t>
  </si>
  <si>
    <t>instagram</t>
  </si>
  <si>
    <t>email</t>
  </si>
  <si>
    <t>linkedin</t>
  </si>
  <si>
    <t>camp1</t>
  </si>
  <si>
    <t>camp9</t>
  </si>
  <si>
    <t>camp7</t>
  </si>
  <si>
    <t>camp8</t>
  </si>
  <si>
    <t>camp2</t>
  </si>
  <si>
    <t>camp3</t>
  </si>
  <si>
    <t>camp4</t>
  </si>
  <si>
    <t>camp5</t>
  </si>
  <si>
    <t>camp6</t>
  </si>
  <si>
    <t>camp10</t>
  </si>
  <si>
    <t>camp11</t>
  </si>
  <si>
    <t>camp12</t>
  </si>
  <si>
    <t>camp13</t>
  </si>
  <si>
    <t>camp14</t>
  </si>
  <si>
    <t>camp15</t>
  </si>
  <si>
    <t>camp16</t>
  </si>
  <si>
    <t>camp17</t>
  </si>
  <si>
    <t>camp18</t>
  </si>
  <si>
    <t>camp19</t>
  </si>
  <si>
    <t>camp20</t>
  </si>
  <si>
    <t>tatol budget spent</t>
  </si>
  <si>
    <t>total revenue genrtd</t>
  </si>
  <si>
    <t>averege revenue</t>
  </si>
  <si>
    <t>total leads gnrtd</t>
  </si>
  <si>
    <t>total conversion</t>
  </si>
  <si>
    <t>cmpin wit highest revn</t>
  </si>
  <si>
    <t>cmpin with highest bgt</t>
  </si>
  <si>
    <t>Row Labels</t>
  </si>
  <si>
    <t>Grand Total</t>
  </si>
  <si>
    <t>Sum of budget</t>
  </si>
  <si>
    <t>Sum of revenue</t>
  </si>
  <si>
    <t>Sum of conversions</t>
  </si>
  <si>
    <t>Sum of revenue2</t>
  </si>
  <si>
    <t>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</si>
</sst>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</cellXfs>
  <cellStyles count="1">
    <cellStyle name="Normal" xfId="0" builtinId="0"/>
  </cellStyles>
  <dxfs count="80"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2.xlsx]Sheet6!PivotTable18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Sheet6!$A$4:$A$24</c:f>
              <c:strCache>
                <c:ptCount val="20"/>
                <c:pt idx="0">
                  <c:v>100</c:v>
                </c:pt>
                <c:pt idx="1">
                  <c:v>110</c:v>
                </c:pt>
                <c:pt idx="2">
                  <c:v>115</c:v>
                </c:pt>
                <c:pt idx="3">
                  <c:v>120</c:v>
                </c:pt>
                <c:pt idx="4">
                  <c:v>150</c:v>
                </c:pt>
                <c:pt idx="5">
                  <c:v>170</c:v>
                </c:pt>
                <c:pt idx="6">
                  <c:v>175</c:v>
                </c:pt>
                <c:pt idx="7">
                  <c:v>180</c:v>
                </c:pt>
                <c:pt idx="8">
                  <c:v>200</c:v>
                </c:pt>
                <c:pt idx="9">
                  <c:v>205</c:v>
                </c:pt>
                <c:pt idx="10">
                  <c:v>210</c:v>
                </c:pt>
                <c:pt idx="11">
                  <c:v>220</c:v>
                </c:pt>
                <c:pt idx="12">
                  <c:v>250</c:v>
                </c:pt>
                <c:pt idx="13">
                  <c:v>255</c:v>
                </c:pt>
                <c:pt idx="14">
                  <c:v>260</c:v>
                </c:pt>
                <c:pt idx="15">
                  <c:v>270</c:v>
                </c:pt>
                <c:pt idx="16">
                  <c:v>300</c:v>
                </c:pt>
                <c:pt idx="17">
                  <c:v>315</c:v>
                </c:pt>
                <c:pt idx="18">
                  <c:v>320</c:v>
                </c:pt>
                <c:pt idx="19">
                  <c:v>330</c:v>
                </c:pt>
              </c:strCache>
            </c:strRef>
          </c:cat>
          <c:val>
            <c:numRef>
              <c:f>Sheet6!$B$4:$B$24</c:f>
              <c:numCache>
                <c:formatCode>General</c:formatCode>
                <c:ptCount val="20"/>
                <c:pt idx="0">
                  <c:v>350</c:v>
                </c:pt>
                <c:pt idx="1">
                  <c:v>370</c:v>
                </c:pt>
                <c:pt idx="2">
                  <c:v>365</c:v>
                </c:pt>
                <c:pt idx="3">
                  <c:v>360</c:v>
                </c:pt>
                <c:pt idx="4">
                  <c:v>400</c:v>
                </c:pt>
                <c:pt idx="5">
                  <c:v>480</c:v>
                </c:pt>
                <c:pt idx="6">
                  <c:v>490</c:v>
                </c:pt>
                <c:pt idx="7">
                  <c:v>500</c:v>
                </c:pt>
                <c:pt idx="8">
                  <c:v>600</c:v>
                </c:pt>
                <c:pt idx="9">
                  <c:v>610</c:v>
                </c:pt>
                <c:pt idx="10">
                  <c:v>620</c:v>
                </c:pt>
                <c:pt idx="11">
                  <c:v>650</c:v>
                </c:pt>
                <c:pt idx="12">
                  <c:v>700</c:v>
                </c:pt>
                <c:pt idx="13">
                  <c:v>710</c:v>
                </c:pt>
                <c:pt idx="14">
                  <c:v>750</c:v>
                </c:pt>
                <c:pt idx="15">
                  <c:v>780</c:v>
                </c:pt>
                <c:pt idx="16">
                  <c:v>900</c:v>
                </c:pt>
                <c:pt idx="17">
                  <c:v>980</c:v>
                </c:pt>
                <c:pt idx="18">
                  <c:v>1000</c:v>
                </c:pt>
                <c:pt idx="19">
                  <c:v>1050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8C-4092-AB91-9D9300E073FB}"/>
            </c:ext>
          </c:extLst>
        </c:ser>
        <c:ser>
          <c:idx val="1"/>
          <c:order val="1"/>
          <c:tx>
            <c:strRef>
              <c:f>Sheet6!$C$3</c:f>
              <c:strCache>
                <c:ptCount val="1"/>
                <c:pt idx="0">
                  <c:v>Sum of revenue2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Sheet6!$A$4:$A$24</c:f>
              <c:strCache>
                <c:ptCount val="20"/>
                <c:pt idx="0">
                  <c:v>100</c:v>
                </c:pt>
                <c:pt idx="1">
                  <c:v>110</c:v>
                </c:pt>
                <c:pt idx="2">
                  <c:v>115</c:v>
                </c:pt>
                <c:pt idx="3">
                  <c:v>120</c:v>
                </c:pt>
                <c:pt idx="4">
                  <c:v>150</c:v>
                </c:pt>
                <c:pt idx="5">
                  <c:v>170</c:v>
                </c:pt>
                <c:pt idx="6">
                  <c:v>175</c:v>
                </c:pt>
                <c:pt idx="7">
                  <c:v>180</c:v>
                </c:pt>
                <c:pt idx="8">
                  <c:v>200</c:v>
                </c:pt>
                <c:pt idx="9">
                  <c:v>205</c:v>
                </c:pt>
                <c:pt idx="10">
                  <c:v>210</c:v>
                </c:pt>
                <c:pt idx="11">
                  <c:v>220</c:v>
                </c:pt>
                <c:pt idx="12">
                  <c:v>250</c:v>
                </c:pt>
                <c:pt idx="13">
                  <c:v>255</c:v>
                </c:pt>
                <c:pt idx="14">
                  <c:v>260</c:v>
                </c:pt>
                <c:pt idx="15">
                  <c:v>270</c:v>
                </c:pt>
                <c:pt idx="16">
                  <c:v>300</c:v>
                </c:pt>
                <c:pt idx="17">
                  <c:v>315</c:v>
                </c:pt>
                <c:pt idx="18">
                  <c:v>320</c:v>
                </c:pt>
                <c:pt idx="19">
                  <c:v>330</c:v>
                </c:pt>
              </c:strCache>
            </c:strRef>
          </c:cat>
          <c:val>
            <c:numRef>
              <c:f>Sheet6!$C$4:$C$24</c:f>
              <c:numCache>
                <c:formatCode>General</c:formatCode>
                <c:ptCount val="20"/>
                <c:pt idx="0">
                  <c:v>350</c:v>
                </c:pt>
                <c:pt idx="1">
                  <c:v>370</c:v>
                </c:pt>
                <c:pt idx="2">
                  <c:v>365</c:v>
                </c:pt>
                <c:pt idx="3">
                  <c:v>360</c:v>
                </c:pt>
                <c:pt idx="4">
                  <c:v>400</c:v>
                </c:pt>
                <c:pt idx="5">
                  <c:v>480</c:v>
                </c:pt>
                <c:pt idx="6">
                  <c:v>490</c:v>
                </c:pt>
                <c:pt idx="7">
                  <c:v>500</c:v>
                </c:pt>
                <c:pt idx="8">
                  <c:v>600</c:v>
                </c:pt>
                <c:pt idx="9">
                  <c:v>610</c:v>
                </c:pt>
                <c:pt idx="10">
                  <c:v>620</c:v>
                </c:pt>
                <c:pt idx="11">
                  <c:v>650</c:v>
                </c:pt>
                <c:pt idx="12">
                  <c:v>700</c:v>
                </c:pt>
                <c:pt idx="13">
                  <c:v>710</c:v>
                </c:pt>
                <c:pt idx="14">
                  <c:v>750</c:v>
                </c:pt>
                <c:pt idx="15">
                  <c:v>780</c:v>
                </c:pt>
                <c:pt idx="16">
                  <c:v>900</c:v>
                </c:pt>
                <c:pt idx="17">
                  <c:v>980</c:v>
                </c:pt>
                <c:pt idx="18">
                  <c:v>1000</c:v>
                </c:pt>
                <c:pt idx="19">
                  <c:v>1050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8C-4092-AB91-9D9300E07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92246336"/>
        <c:axId val="1692243840"/>
      </c:barChart>
      <c:catAx>
        <c:axId val="1692246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243840"/>
        <c:crosses val="autoZero"/>
        <c:auto val="1"/>
        <c:lblAlgn val="ctr"/>
        <c:lblOffset val="100"/>
        <c:noMultiLvlLbl val="0"/>
      </c:catAx>
      <c:valAx>
        <c:axId val="1692243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24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2.xlsx]Sheet7!PivotTable19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pie</a:t>
            </a:r>
            <a:r>
              <a:rPr lang="en-US" b="1" baseline="0">
                <a:solidFill>
                  <a:srgbClr val="FF0000"/>
                </a:solidFill>
              </a:rPr>
              <a:t> chart showing budget distribution by channel</a:t>
            </a:r>
            <a:r>
              <a:rPr lang="en-US" baseline="0">
                <a:solidFill>
                  <a:srgbClr val="FF0000"/>
                </a:solidFill>
              </a:rPr>
              <a:t>              </a:t>
            </a:r>
            <a:endParaRPr lang="en-US">
              <a:solidFill>
                <a:srgbClr val="FF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Sheet7!$A$4:$A$9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linkedin</c:v>
                </c:pt>
              </c:strCache>
            </c:strRef>
          </c:cat>
          <c:val>
            <c:numRef>
              <c:f>Sheet7!$B$4:$B$9</c:f>
              <c:numCache>
                <c:formatCode>General</c:formatCode>
                <c:ptCount val="5"/>
                <c:pt idx="0">
                  <c:v>445</c:v>
                </c:pt>
                <c:pt idx="1">
                  <c:v>835</c:v>
                </c:pt>
                <c:pt idx="2">
                  <c:v>1265</c:v>
                </c:pt>
                <c:pt idx="3">
                  <c:v>675</c:v>
                </c:pt>
                <c:pt idx="4">
                  <c:v>1035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1-4E07-B18D-F10FC0ACB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2.xlsx]Sheet8!PivotTable20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bar</a:t>
            </a:r>
            <a:r>
              <a:rPr lang="en-US" b="1" baseline="0">
                <a:solidFill>
                  <a:srgbClr val="FF0000"/>
                </a:solidFill>
              </a:rPr>
              <a:t> chart showing showing conversions by channel</a:t>
            </a:r>
            <a:endParaRPr lang="en-US" b="1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3013333333333334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Sheet8!$A$4:$A$9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linkedin</c:v>
                </c:pt>
              </c:strCache>
            </c:strRef>
          </c:cat>
          <c:val>
            <c:numRef>
              <c:f>Sheet8!$B$4:$B$9</c:f>
              <c:numCache>
                <c:formatCode>General</c:formatCode>
                <c:ptCount val="5"/>
                <c:pt idx="0">
                  <c:v>46</c:v>
                </c:pt>
                <c:pt idx="1">
                  <c:v>83</c:v>
                </c:pt>
                <c:pt idx="2">
                  <c:v>114</c:v>
                </c:pt>
                <c:pt idx="3">
                  <c:v>65</c:v>
                </c:pt>
                <c:pt idx="4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B1-447C-9A90-7E3EA4410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0271328"/>
        <c:axId val="1690271744"/>
      </c:barChart>
      <c:catAx>
        <c:axId val="1690271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271744"/>
        <c:crosses val="autoZero"/>
        <c:auto val="1"/>
        <c:lblAlgn val="ctr"/>
        <c:lblOffset val="100"/>
        <c:noMultiLvlLbl val="0"/>
      </c:catAx>
      <c:valAx>
        <c:axId val="1690271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27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5"/>
                </a:solidFill>
              </a:rPr>
              <a:t>chart</a:t>
            </a:r>
            <a:r>
              <a:rPr lang="en-US" baseline="0">
                <a:solidFill>
                  <a:schemeClr val="accent5"/>
                </a:solidFill>
              </a:rPr>
              <a:t> comparing  budget and revenue</a:t>
            </a:r>
            <a:endParaRPr lang="en-US">
              <a:solidFill>
                <a:schemeClr val="accent5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Sheet1!$U$3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Sheet1!$T$4:$T$23</c:f>
              <c:strCache>
                <c:ptCount val="20"/>
                <c:pt idx="0">
                  <c:v>camp1</c:v>
                </c:pt>
                <c:pt idx="1">
                  <c:v>camp2</c:v>
                </c:pt>
                <c:pt idx="2">
                  <c:v>camp3</c:v>
                </c:pt>
                <c:pt idx="3">
                  <c:v>camp4</c:v>
                </c:pt>
                <c:pt idx="4">
                  <c:v>camp5</c:v>
                </c:pt>
                <c:pt idx="5">
                  <c:v>camp6</c:v>
                </c:pt>
                <c:pt idx="6">
                  <c:v>camp7</c:v>
                </c:pt>
                <c:pt idx="7">
                  <c:v>camp8</c:v>
                </c:pt>
                <c:pt idx="8">
                  <c:v>camp9</c:v>
                </c:pt>
                <c:pt idx="9">
                  <c:v>camp10</c:v>
                </c:pt>
                <c:pt idx="10">
                  <c:v>camp11</c:v>
                </c:pt>
                <c:pt idx="11">
                  <c:v>camp12</c:v>
                </c:pt>
                <c:pt idx="12">
                  <c:v>camp13</c:v>
                </c:pt>
                <c:pt idx="13">
                  <c:v>camp14</c:v>
                </c:pt>
                <c:pt idx="14">
                  <c:v>camp15</c:v>
                </c:pt>
                <c:pt idx="15">
                  <c:v>camp16</c:v>
                </c:pt>
                <c:pt idx="16">
                  <c:v>camp17</c:v>
                </c:pt>
                <c:pt idx="17">
                  <c:v>camp18</c:v>
                </c:pt>
                <c:pt idx="18">
                  <c:v>camp19</c:v>
                </c:pt>
                <c:pt idx="19">
                  <c:v>camp20</c:v>
                </c:pt>
              </c:strCache>
            </c:strRef>
          </c:cat>
          <c:val>
            <c:numRef>
              <c:f>Sheet1!$U$4:$U$23</c:f>
              <c:numCache>
                <c:formatCode>General</c:formatCode>
                <c:ptCount val="20"/>
                <c:pt idx="0">
                  <c:v>200</c:v>
                </c:pt>
                <c:pt idx="1">
                  <c:v>300</c:v>
                </c:pt>
                <c:pt idx="2">
                  <c:v>150</c:v>
                </c:pt>
                <c:pt idx="3">
                  <c:v>100</c:v>
                </c:pt>
                <c:pt idx="4">
                  <c:v>250</c:v>
                </c:pt>
                <c:pt idx="5">
                  <c:v>220</c:v>
                </c:pt>
                <c:pt idx="6">
                  <c:v>320</c:v>
                </c:pt>
                <c:pt idx="7">
                  <c:v>180</c:v>
                </c:pt>
                <c:pt idx="8">
                  <c:v>120</c:v>
                </c:pt>
                <c:pt idx="9">
                  <c:v>260</c:v>
                </c:pt>
                <c:pt idx="10">
                  <c:v>210</c:v>
                </c:pt>
                <c:pt idx="11">
                  <c:v>330</c:v>
                </c:pt>
                <c:pt idx="12">
                  <c:v>170</c:v>
                </c:pt>
                <c:pt idx="13">
                  <c:v>110</c:v>
                </c:pt>
                <c:pt idx="14">
                  <c:v>255</c:v>
                </c:pt>
                <c:pt idx="15">
                  <c:v>205</c:v>
                </c:pt>
                <c:pt idx="16">
                  <c:v>315</c:v>
                </c:pt>
                <c:pt idx="17">
                  <c:v>175</c:v>
                </c:pt>
                <c:pt idx="18">
                  <c:v>115</c:v>
                </c:pt>
                <c:pt idx="19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A-4039-B72A-1A2140F658ED}"/>
            </c:ext>
          </c:extLst>
        </c:ser>
        <c:ser>
          <c:idx val="1"/>
          <c:order val="1"/>
          <c:tx>
            <c:strRef>
              <c:f>Sheet1!$V$3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Sheet1!$T$4:$T$23</c:f>
              <c:strCache>
                <c:ptCount val="20"/>
                <c:pt idx="0">
                  <c:v>camp1</c:v>
                </c:pt>
                <c:pt idx="1">
                  <c:v>camp2</c:v>
                </c:pt>
                <c:pt idx="2">
                  <c:v>camp3</c:v>
                </c:pt>
                <c:pt idx="3">
                  <c:v>camp4</c:v>
                </c:pt>
                <c:pt idx="4">
                  <c:v>camp5</c:v>
                </c:pt>
                <c:pt idx="5">
                  <c:v>camp6</c:v>
                </c:pt>
                <c:pt idx="6">
                  <c:v>camp7</c:v>
                </c:pt>
                <c:pt idx="7">
                  <c:v>camp8</c:v>
                </c:pt>
                <c:pt idx="8">
                  <c:v>camp9</c:v>
                </c:pt>
                <c:pt idx="9">
                  <c:v>camp10</c:v>
                </c:pt>
                <c:pt idx="10">
                  <c:v>camp11</c:v>
                </c:pt>
                <c:pt idx="11">
                  <c:v>camp12</c:v>
                </c:pt>
                <c:pt idx="12">
                  <c:v>camp13</c:v>
                </c:pt>
                <c:pt idx="13">
                  <c:v>camp14</c:v>
                </c:pt>
                <c:pt idx="14">
                  <c:v>camp15</c:v>
                </c:pt>
                <c:pt idx="15">
                  <c:v>camp16</c:v>
                </c:pt>
                <c:pt idx="16">
                  <c:v>camp17</c:v>
                </c:pt>
                <c:pt idx="17">
                  <c:v>camp18</c:v>
                </c:pt>
                <c:pt idx="18">
                  <c:v>camp19</c:v>
                </c:pt>
                <c:pt idx="19">
                  <c:v>camp20</c:v>
                </c:pt>
              </c:strCache>
            </c:strRef>
          </c:cat>
          <c:val>
            <c:numRef>
              <c:f>Sheet1!$V$4:$V$23</c:f>
              <c:numCache>
                <c:formatCode>General</c:formatCode>
                <c:ptCount val="20"/>
                <c:pt idx="0">
                  <c:v>600</c:v>
                </c:pt>
                <c:pt idx="1">
                  <c:v>900</c:v>
                </c:pt>
                <c:pt idx="2">
                  <c:v>400</c:v>
                </c:pt>
                <c:pt idx="3">
                  <c:v>350</c:v>
                </c:pt>
                <c:pt idx="4">
                  <c:v>700</c:v>
                </c:pt>
                <c:pt idx="5">
                  <c:v>650</c:v>
                </c:pt>
                <c:pt idx="6">
                  <c:v>1000</c:v>
                </c:pt>
                <c:pt idx="7">
                  <c:v>500</c:v>
                </c:pt>
                <c:pt idx="8">
                  <c:v>360</c:v>
                </c:pt>
                <c:pt idx="9">
                  <c:v>750</c:v>
                </c:pt>
                <c:pt idx="10">
                  <c:v>620</c:v>
                </c:pt>
                <c:pt idx="11">
                  <c:v>1050</c:v>
                </c:pt>
                <c:pt idx="12">
                  <c:v>480</c:v>
                </c:pt>
                <c:pt idx="13">
                  <c:v>370</c:v>
                </c:pt>
                <c:pt idx="14">
                  <c:v>710</c:v>
                </c:pt>
                <c:pt idx="15">
                  <c:v>610</c:v>
                </c:pt>
                <c:pt idx="16">
                  <c:v>980</c:v>
                </c:pt>
                <c:pt idx="17">
                  <c:v>490</c:v>
                </c:pt>
                <c:pt idx="18">
                  <c:v>365</c:v>
                </c:pt>
                <c:pt idx="19">
                  <c:v>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7A-4039-B72A-1A2140F65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5078368"/>
        <c:axId val="1635071296"/>
      </c:barChart>
      <c:catAx>
        <c:axId val="163507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071296"/>
        <c:crosses val="autoZero"/>
        <c:auto val="1"/>
        <c:lblAlgn val="ctr"/>
        <c:lblOffset val="100"/>
        <c:noMultiLvlLbl val="0"/>
      </c:catAx>
      <c:valAx>
        <c:axId val="163507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07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342900</xdr:colOff>
      <xdr:row>7</xdr:row>
      <xdr:rowOff>171450</xdr:rowOff>
    </xdr:from>
    <xdr:to>
      <xdr:col>9</xdr:col>
      <xdr:colOff>38100</xdr:colOff>
      <xdr:row>22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</xdr:row>
      <xdr:rowOff>76200</xdr:rowOff>
    </xdr:from>
    <xdr:to>
      <xdr:col>9</xdr:col>
      <xdr:colOff>314325</xdr:colOff>
      <xdr:row>15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1</xdr:row>
      <xdr:rowOff>161925</xdr:rowOff>
    </xdr:from>
    <xdr:to>
      <xdr:col>9</xdr:col>
      <xdr:colOff>323850</xdr:colOff>
      <xdr:row>16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52387</xdr:colOff>
      <xdr:row>2</xdr:row>
      <xdr:rowOff>180975</xdr:rowOff>
    </xdr:from>
    <xdr:to>
      <xdr:col>15</xdr:col>
      <xdr:colOff>357187</xdr:colOff>
      <xdr:row>17</xdr:row>
      <xdr:rowOff>66675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6134.067976620368" createdVersion="6" refreshedVersion="6" minRefreshableVersion="3" recordCount="20">
  <cacheSource type="worksheet">
    <worksheetSource ref="A1:F21" sheet="Sheet1"/>
  </cacheSource>
  <cacheFields count="6">
    <cacheField name="campain" numFmtId="0">
      <sharedItems/>
    </cacheField>
    <cacheField name="channel" numFmtId="0">
      <sharedItems count="5">
        <s v="facebook"/>
        <s v="google ads"/>
        <s v="instagram"/>
        <s v="email"/>
        <s v="linkedin"/>
      </sharedItems>
    </cacheField>
    <cacheField name="budget" numFmtId="0">
      <sharedItems containsSemiMixedTypes="0" containsString="0" containsNumber="1" containsInteger="1" minValue="100" maxValue="330" count="20">
        <n v="200"/>
        <n v="300"/>
        <n v="150"/>
        <n v="100"/>
        <n v="250"/>
        <n v="220"/>
        <n v="320"/>
        <n v="180"/>
        <n v="120"/>
        <n v="260"/>
        <n v="210"/>
        <n v="330"/>
        <n v="170"/>
        <n v="110"/>
        <n v="255"/>
        <n v="205"/>
        <n v="315"/>
        <n v="175"/>
        <n v="115"/>
        <n v="270"/>
      </sharedItems>
    </cacheField>
    <cacheField name="revenue" numFmtId="0">
      <sharedItems containsSemiMixedTypes="0" containsString="0" containsNumber="1" containsInteger="1" minValue="350" maxValue="1050" count="20">
        <n v="600"/>
        <n v="900"/>
        <n v="400"/>
        <n v="350"/>
        <n v="700"/>
        <n v="650"/>
        <n v="1000"/>
        <n v="500"/>
        <n v="360"/>
        <n v="750"/>
        <n v="620"/>
        <n v="1050"/>
        <n v="480"/>
        <n v="370"/>
        <n v="710"/>
        <n v="610"/>
        <n v="980"/>
        <n v="490"/>
        <n v="365"/>
        <n v="780"/>
      </sharedItems>
    </cacheField>
    <cacheField name="leads" numFmtId="0">
      <sharedItems containsSemiMixedTypes="0" containsString="0" containsNumber="1" containsInteger="1" minValue="70" maxValue="170"/>
    </cacheField>
    <cacheField name="conversions" numFmtId="0">
      <sharedItems containsSemiMixedTypes="0" containsString="0" containsNumber="1" containsInteger="1" minValue="10" maxValue="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s v="channel"/>
    <x v="0"/>
    <x v="0"/>
    <x v="0"/>
    <n v="120"/>
    <n v="20"/>
  </r>
  <r>
    <s v="camp2"/>
    <x v="1"/>
    <x v="1"/>
    <x v="1"/>
    <n v="150"/>
    <n v="25"/>
  </r>
  <r>
    <s v="camp3"/>
    <x v="2"/>
    <x v="2"/>
    <x v="2"/>
    <n v="90"/>
    <n v="15"/>
  </r>
  <r>
    <s v="camp4"/>
    <x v="3"/>
    <x v="3"/>
    <x v="3"/>
    <n v="70"/>
    <n v="10"/>
  </r>
  <r>
    <s v="camp5"/>
    <x v="4"/>
    <x v="4"/>
    <x v="4"/>
    <n v="110"/>
    <n v="18"/>
  </r>
  <r>
    <s v="camp6"/>
    <x v="0"/>
    <x v="5"/>
    <x v="5"/>
    <n v="130"/>
    <n v="21"/>
  </r>
  <r>
    <s v="camp7"/>
    <x v="1"/>
    <x v="6"/>
    <x v="6"/>
    <n v="160"/>
    <n v="30"/>
  </r>
  <r>
    <s v="camp8"/>
    <x v="2"/>
    <x v="7"/>
    <x v="7"/>
    <n v="95"/>
    <n v="17"/>
  </r>
  <r>
    <s v="camp9"/>
    <x v="3"/>
    <x v="8"/>
    <x v="8"/>
    <n v="80"/>
    <n v="12"/>
  </r>
  <r>
    <s v="camp10"/>
    <x v="4"/>
    <x v="9"/>
    <x v="9"/>
    <n v="115"/>
    <n v="20"/>
  </r>
  <r>
    <s v="camp11"/>
    <x v="0"/>
    <x v="10"/>
    <x v="10"/>
    <n v="170"/>
    <n v="22"/>
  </r>
  <r>
    <s v="camp12"/>
    <x v="1"/>
    <x v="11"/>
    <x v="11"/>
    <n v="100"/>
    <n v="31"/>
  </r>
  <r>
    <s v="camp13"/>
    <x v="2"/>
    <x v="12"/>
    <x v="12"/>
    <n v="75"/>
    <n v="16"/>
  </r>
  <r>
    <s v="camp14"/>
    <x v="3"/>
    <x v="13"/>
    <x v="13"/>
    <n v="108"/>
    <n v="11"/>
  </r>
  <r>
    <s v="camp15"/>
    <x v="4"/>
    <x v="14"/>
    <x v="14"/>
    <n v="118"/>
    <n v="19"/>
  </r>
  <r>
    <s v="camp16"/>
    <x v="0"/>
    <x v="15"/>
    <x v="15"/>
    <n v="155"/>
    <n v="20"/>
  </r>
  <r>
    <s v="camp17"/>
    <x v="1"/>
    <x v="16"/>
    <x v="16"/>
    <n v="102"/>
    <n v="28"/>
  </r>
  <r>
    <s v="camp18"/>
    <x v="2"/>
    <x v="17"/>
    <x v="17"/>
    <n v="82"/>
    <n v="17"/>
  </r>
  <r>
    <s v="camp19"/>
    <x v="3"/>
    <x v="18"/>
    <x v="18"/>
    <n v="120"/>
    <n v="13"/>
  </r>
  <r>
    <s v="camp20"/>
    <x v="4"/>
    <x v="19"/>
    <x v="19"/>
    <n v="125"/>
    <n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/>
  <pivotFields count="6"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dataField="1"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budge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2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/>
  <pivotFields count="6"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dataField="1"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2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/>
  <pivotFields count="6">
    <pivotField showAll="0"/>
    <pivotField axis="axisRow" multipleItemSelectionAllowed="1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onversion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8" cacheId="2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24" firstHeaderRow="0" firstDataRow="1" firstDataCol="1"/>
  <pivotFields count="6">
    <pivotField showAll="0"/>
    <pivotField showAll="0"/>
    <pivotField axis="axisRow" showAll="0">
      <items count="21">
        <item x="3"/>
        <item x="13"/>
        <item x="18"/>
        <item x="8"/>
        <item x="2"/>
        <item x="12"/>
        <item x="17"/>
        <item x="7"/>
        <item x="0"/>
        <item x="15"/>
        <item x="10"/>
        <item x="5"/>
        <item x="4"/>
        <item x="14"/>
        <item x="9"/>
        <item x="19"/>
        <item x="1"/>
        <item x="16"/>
        <item x="6"/>
        <item x="11"/>
        <item t="default"/>
      </items>
    </pivotField>
    <pivotField dataField="1" showAll="0">
      <items count="21">
        <item x="3"/>
        <item x="8"/>
        <item x="18"/>
        <item x="13"/>
        <item x="2"/>
        <item x="12"/>
        <item x="17"/>
        <item x="7"/>
        <item x="0"/>
        <item x="15"/>
        <item x="10"/>
        <item x="5"/>
        <item x="4"/>
        <item x="14"/>
        <item x="9"/>
        <item x="19"/>
        <item x="1"/>
        <item x="16"/>
        <item x="6"/>
        <item x="11"/>
        <item t="default"/>
      </items>
    </pivotField>
    <pivotField showAll="0"/>
    <pivotField showAll="0"/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3" baseField="0" baseItem="0"/>
    <dataField name="Sum of revenue2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9" cacheId="2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9" firstHeaderRow="1" firstDataRow="1" firstDataCol="1"/>
  <pivotFields count="6"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dataField="1"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budget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0" cacheId="2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9" firstHeaderRow="1" firstDataRow="1" firstDataCol="1"/>
  <pivotFields count="6"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onversions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A14" sqref="A14"/>
    </sheetView>
  </sheetViews>
  <sheetFormatPr defaultRowHeight="15" x14ac:dyDescent="0.25"/>
  <cols>
    <col min="1" max="1" width="13.140625" bestFit="1" customWidth="1"/>
    <col min="2" max="2" width="14" bestFit="1" customWidth="1"/>
  </cols>
  <sheetData>
    <row r="3" spans="1:2" x14ac:dyDescent="0.25">
      <c r="A3" s="1" t="s">
        <v>38</v>
      </c>
      <c r="B3" t="s">
        <v>40</v>
      </c>
    </row>
    <row r="4" spans="1:2" x14ac:dyDescent="0.25">
      <c r="A4" s="2" t="s">
        <v>9</v>
      </c>
      <c r="B4" s="3">
        <v>445</v>
      </c>
    </row>
    <row r="5" spans="1:2" x14ac:dyDescent="0.25">
      <c r="A5" s="2" t="s">
        <v>6</v>
      </c>
      <c r="B5" s="3">
        <v>835</v>
      </c>
    </row>
    <row r="6" spans="1:2" x14ac:dyDescent="0.25">
      <c r="A6" s="2" t="s">
        <v>7</v>
      </c>
      <c r="B6" s="3">
        <v>1265</v>
      </c>
    </row>
    <row r="7" spans="1:2" x14ac:dyDescent="0.25">
      <c r="A7" s="2" t="s">
        <v>8</v>
      </c>
      <c r="B7" s="3">
        <v>675</v>
      </c>
    </row>
    <row r="8" spans="1:2" x14ac:dyDescent="0.25">
      <c r="A8" s="2" t="s">
        <v>10</v>
      </c>
      <c r="B8" s="3">
        <v>1035</v>
      </c>
    </row>
    <row r="9" spans="1:2" x14ac:dyDescent="0.25">
      <c r="A9" s="2" t="s">
        <v>39</v>
      </c>
      <c r="B9" s="3">
        <v>4255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5.140625" bestFit="1" customWidth="1"/>
  </cols>
  <sheetData>
    <row r="3" spans="1:2" x14ac:dyDescent="0.25">
      <c r="A3" s="1" t="s">
        <v>38</v>
      </c>
      <c r="B3" t="s">
        <v>41</v>
      </c>
    </row>
    <row r="4" spans="1:2" x14ac:dyDescent="0.25">
      <c r="A4" s="2" t="s">
        <v>9</v>
      </c>
      <c r="B4" s="3">
        <v>1445</v>
      </c>
    </row>
    <row r="5" spans="1:2" x14ac:dyDescent="0.25">
      <c r="A5" s="2" t="s">
        <v>6</v>
      </c>
      <c r="B5" s="3">
        <v>2480</v>
      </c>
    </row>
    <row r="6" spans="1:2" x14ac:dyDescent="0.25">
      <c r="A6" s="2" t="s">
        <v>7</v>
      </c>
      <c r="B6" s="3">
        <v>3930</v>
      </c>
    </row>
    <row r="7" spans="1:2" x14ac:dyDescent="0.25">
      <c r="A7" s="2" t="s">
        <v>8</v>
      </c>
      <c r="B7" s="3">
        <v>1870</v>
      </c>
    </row>
    <row r="8" spans="1:2" x14ac:dyDescent="0.25">
      <c r="A8" s="2" t="s">
        <v>10</v>
      </c>
      <c r="B8" s="3">
        <v>2940</v>
      </c>
    </row>
    <row r="9" spans="1:2" x14ac:dyDescent="0.25">
      <c r="A9" s="2" t="s">
        <v>39</v>
      </c>
      <c r="B9" s="3">
        <v>12665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D25" sqref="D25"/>
    </sheetView>
  </sheetViews>
  <sheetFormatPr defaultRowHeight="15" x14ac:dyDescent="0.25"/>
  <cols>
    <col min="1" max="1" width="13.140625" customWidth="1"/>
    <col min="2" max="2" width="18.42578125" customWidth="1"/>
  </cols>
  <sheetData>
    <row r="3" spans="1:2" x14ac:dyDescent="0.25">
      <c r="A3" s="1" t="s">
        <v>38</v>
      </c>
      <c r="B3" t="s">
        <v>42</v>
      </c>
    </row>
    <row r="4" spans="1:2" x14ac:dyDescent="0.25">
      <c r="A4" s="2" t="s">
        <v>9</v>
      </c>
      <c r="B4" s="3">
        <v>46</v>
      </c>
    </row>
    <row r="5" spans="1:2" x14ac:dyDescent="0.25">
      <c r="A5" s="2" t="s">
        <v>6</v>
      </c>
      <c r="B5" s="3">
        <v>83</v>
      </c>
    </row>
    <row r="6" spans="1:2" x14ac:dyDescent="0.25">
      <c r="A6" s="2" t="s">
        <v>7</v>
      </c>
      <c r="B6" s="3">
        <v>114</v>
      </c>
    </row>
    <row r="7" spans="1:2" x14ac:dyDescent="0.25">
      <c r="A7" s="2" t="s">
        <v>8</v>
      </c>
      <c r="B7" s="3">
        <v>65</v>
      </c>
    </row>
    <row r="8" spans="1:2" x14ac:dyDescent="0.25">
      <c r="A8" s="2" t="s">
        <v>10</v>
      </c>
      <c r="B8" s="3">
        <v>78</v>
      </c>
    </row>
    <row r="9" spans="1:2" x14ac:dyDescent="0.25">
      <c r="A9" s="2" t="s">
        <v>39</v>
      </c>
      <c r="B9" s="3">
        <v>386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4"/>
  <sheetViews>
    <sheetView workbookViewId="0">
      <selection activeCell="G4" sqref="G4"/>
    </sheetView>
  </sheetViews>
  <sheetFormatPr defaultRowHeight="15" x14ac:dyDescent="0.25"/>
  <cols>
    <col min="1" max="1" width="13.140625" bestFit="1" customWidth="1"/>
    <col min="2" max="2" width="15.140625" bestFit="1" customWidth="1"/>
    <col min="3" max="3" width="16.140625" bestFit="1" customWidth="1"/>
  </cols>
  <sheetData>
    <row r="3" spans="1:3" x14ac:dyDescent="0.25">
      <c r="A3" s="1" t="s">
        <v>38</v>
      </c>
      <c r="B3" t="s">
        <v>41</v>
      </c>
      <c r="C3" t="s">
        <v>43</v>
      </c>
    </row>
    <row r="4" spans="1:3" x14ac:dyDescent="0.25">
      <c r="A4" s="2">
        <v>100</v>
      </c>
      <c r="B4" s="3">
        <v>350</v>
      </c>
      <c r="C4" s="3">
        <v>350</v>
      </c>
    </row>
    <row r="5" spans="1:3" x14ac:dyDescent="0.25">
      <c r="A5" s="2">
        <v>110</v>
      </c>
      <c r="B5" s="3">
        <v>370</v>
      </c>
      <c r="C5" s="3">
        <v>370</v>
      </c>
    </row>
    <row r="6" spans="1:3" x14ac:dyDescent="0.25">
      <c r="A6" s="2">
        <v>115</v>
      </c>
      <c r="B6" s="3">
        <v>365</v>
      </c>
      <c r="C6" s="3">
        <v>365</v>
      </c>
    </row>
    <row r="7" spans="1:3" x14ac:dyDescent="0.25">
      <c r="A7" s="2">
        <v>120</v>
      </c>
      <c r="B7" s="3">
        <v>360</v>
      </c>
      <c r="C7" s="3">
        <v>360</v>
      </c>
    </row>
    <row r="8" spans="1:3" x14ac:dyDescent="0.25">
      <c r="A8" s="2">
        <v>150</v>
      </c>
      <c r="B8" s="3">
        <v>400</v>
      </c>
      <c r="C8" s="3">
        <v>400</v>
      </c>
    </row>
    <row r="9" spans="1:3" x14ac:dyDescent="0.25">
      <c r="A9" s="2">
        <v>170</v>
      </c>
      <c r="B9" s="3">
        <v>480</v>
      </c>
      <c r="C9" s="3">
        <v>480</v>
      </c>
    </row>
    <row r="10" spans="1:3" x14ac:dyDescent="0.25">
      <c r="A10" s="2">
        <v>175</v>
      </c>
      <c r="B10" s="3">
        <v>490</v>
      </c>
      <c r="C10" s="3">
        <v>490</v>
      </c>
    </row>
    <row r="11" spans="1:3" x14ac:dyDescent="0.25">
      <c r="A11" s="2">
        <v>180</v>
      </c>
      <c r="B11" s="3">
        <v>500</v>
      </c>
      <c r="C11" s="3">
        <v>500</v>
      </c>
    </row>
    <row r="12" spans="1:3" x14ac:dyDescent="0.25">
      <c r="A12" s="2">
        <v>200</v>
      </c>
      <c r="B12" s="3">
        <v>600</v>
      </c>
      <c r="C12" s="3">
        <v>600</v>
      </c>
    </row>
    <row r="13" spans="1:3" x14ac:dyDescent="0.25">
      <c r="A13" s="2">
        <v>205</v>
      </c>
      <c r="B13" s="3">
        <v>610</v>
      </c>
      <c r="C13" s="3">
        <v>610</v>
      </c>
    </row>
    <row r="14" spans="1:3" x14ac:dyDescent="0.25">
      <c r="A14" s="2">
        <v>210</v>
      </c>
      <c r="B14" s="3">
        <v>620</v>
      </c>
      <c r="C14" s="3">
        <v>620</v>
      </c>
    </row>
    <row r="15" spans="1:3" x14ac:dyDescent="0.25">
      <c r="A15" s="2">
        <v>220</v>
      </c>
      <c r="B15" s="3">
        <v>650</v>
      </c>
      <c r="C15" s="3">
        <v>650</v>
      </c>
    </row>
    <row r="16" spans="1:3" x14ac:dyDescent="0.25">
      <c r="A16" s="2">
        <v>250</v>
      </c>
      <c r="B16" s="3">
        <v>700</v>
      </c>
      <c r="C16" s="3">
        <v>700</v>
      </c>
    </row>
    <row r="17" spans="1:3" x14ac:dyDescent="0.25">
      <c r="A17" s="2">
        <v>255</v>
      </c>
      <c r="B17" s="3">
        <v>710</v>
      </c>
      <c r="C17" s="3">
        <v>710</v>
      </c>
    </row>
    <row r="18" spans="1:3" x14ac:dyDescent="0.25">
      <c r="A18" s="2">
        <v>260</v>
      </c>
      <c r="B18" s="3">
        <v>750</v>
      </c>
      <c r="C18" s="3">
        <v>750</v>
      </c>
    </row>
    <row r="19" spans="1:3" x14ac:dyDescent="0.25">
      <c r="A19" s="2">
        <v>270</v>
      </c>
      <c r="B19" s="3">
        <v>780</v>
      </c>
      <c r="C19" s="3">
        <v>780</v>
      </c>
    </row>
    <row r="20" spans="1:3" x14ac:dyDescent="0.25">
      <c r="A20" s="2">
        <v>300</v>
      </c>
      <c r="B20" s="3">
        <v>900</v>
      </c>
      <c r="C20" s="3">
        <v>900</v>
      </c>
    </row>
    <row r="21" spans="1:3" x14ac:dyDescent="0.25">
      <c r="A21" s="2">
        <v>315</v>
      </c>
      <c r="B21" s="3">
        <v>980</v>
      </c>
      <c r="C21" s="3">
        <v>980</v>
      </c>
    </row>
    <row r="22" spans="1:3" x14ac:dyDescent="0.25">
      <c r="A22" s="2">
        <v>320</v>
      </c>
      <c r="B22" s="3">
        <v>1000</v>
      </c>
      <c r="C22" s="3">
        <v>1000</v>
      </c>
    </row>
    <row r="23" spans="1:3" x14ac:dyDescent="0.25">
      <c r="A23" s="2">
        <v>330</v>
      </c>
      <c r="B23" s="3">
        <v>1050</v>
      </c>
      <c r="C23" s="3">
        <v>1050</v>
      </c>
    </row>
    <row r="24" spans="1:3" x14ac:dyDescent="0.25">
      <c r="A24" s="2" t="s">
        <v>39</v>
      </c>
      <c r="B24" s="3">
        <v>12665</v>
      </c>
      <c r="C24" s="3">
        <v>12665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H21" sqref="H21"/>
    </sheetView>
  </sheetViews>
  <sheetFormatPr defaultRowHeight="15" x14ac:dyDescent="0.25"/>
  <cols>
    <col min="1" max="1" width="13.140625" bestFit="1" customWidth="1"/>
    <col min="2" max="2" width="14" bestFit="1" customWidth="1"/>
  </cols>
  <sheetData>
    <row r="3" spans="1:2" x14ac:dyDescent="0.25">
      <c r="A3" s="1" t="s">
        <v>38</v>
      </c>
      <c r="B3" t="s">
        <v>40</v>
      </c>
    </row>
    <row r="4" spans="1:2" x14ac:dyDescent="0.25">
      <c r="A4" s="2" t="s">
        <v>9</v>
      </c>
      <c r="B4" s="3">
        <v>445</v>
      </c>
    </row>
    <row r="5" spans="1:2" x14ac:dyDescent="0.25">
      <c r="A5" s="2" t="s">
        <v>6</v>
      </c>
      <c r="B5" s="3">
        <v>835</v>
      </c>
    </row>
    <row r="6" spans="1:2" x14ac:dyDescent="0.25">
      <c r="A6" s="2" t="s">
        <v>7</v>
      </c>
      <c r="B6" s="3">
        <v>1265</v>
      </c>
    </row>
    <row r="7" spans="1:2" x14ac:dyDescent="0.25">
      <c r="A7" s="2" t="s">
        <v>8</v>
      </c>
      <c r="B7" s="3">
        <v>675</v>
      </c>
    </row>
    <row r="8" spans="1:2" x14ac:dyDescent="0.25">
      <c r="A8" s="2" t="s">
        <v>10</v>
      </c>
      <c r="B8" s="3">
        <v>1035</v>
      </c>
    </row>
    <row r="9" spans="1:2" x14ac:dyDescent="0.25">
      <c r="A9" s="2" t="s">
        <v>39</v>
      </c>
      <c r="B9" s="3">
        <v>4255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topLeftCell="B1" workbookViewId="0">
      <selection activeCell="F24" sqref="F24"/>
    </sheetView>
  </sheetViews>
  <sheetFormatPr defaultRowHeight="15" x14ac:dyDescent="0.25"/>
  <cols>
    <col min="1" max="1" width="13.140625" bestFit="1" customWidth="1"/>
    <col min="2" max="2" width="18.42578125" bestFit="1" customWidth="1"/>
  </cols>
  <sheetData>
    <row r="3" spans="1:2" x14ac:dyDescent="0.25">
      <c r="A3" s="1" t="s">
        <v>38</v>
      </c>
      <c r="B3" t="s">
        <v>42</v>
      </c>
    </row>
    <row r="4" spans="1:2" x14ac:dyDescent="0.25">
      <c r="A4" s="2" t="s">
        <v>9</v>
      </c>
      <c r="B4" s="3">
        <v>46</v>
      </c>
    </row>
    <row r="5" spans="1:2" x14ac:dyDescent="0.25">
      <c r="A5" s="2" t="s">
        <v>6</v>
      </c>
      <c r="B5" s="3">
        <v>83</v>
      </c>
    </row>
    <row r="6" spans="1:2" x14ac:dyDescent="0.25">
      <c r="A6" s="2" t="s">
        <v>7</v>
      </c>
      <c r="B6" s="3">
        <v>114</v>
      </c>
    </row>
    <row r="7" spans="1:2" x14ac:dyDescent="0.25">
      <c r="A7" s="2" t="s">
        <v>8</v>
      </c>
      <c r="B7" s="3">
        <v>65</v>
      </c>
    </row>
    <row r="8" spans="1:2" x14ac:dyDescent="0.25">
      <c r="A8" s="2" t="s">
        <v>10</v>
      </c>
      <c r="B8" s="3">
        <v>78</v>
      </c>
    </row>
    <row r="9" spans="1:2" x14ac:dyDescent="0.25">
      <c r="A9" s="2" t="s">
        <v>39</v>
      </c>
      <c r="B9" s="3">
        <v>386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"/>
  <sheetViews>
    <sheetView tabSelected="1" topLeftCell="B1" workbookViewId="0">
      <selection activeCell="H23" sqref="H23"/>
    </sheetView>
  </sheetViews>
  <sheetFormatPr defaultRowHeight="15" x14ac:dyDescent="0.25"/>
  <cols>
    <col min="1" max="1" width="21.7109375" customWidth="1"/>
    <col min="2" max="2" width="27.140625" customWidth="1"/>
    <col min="3" max="3" width="20.28515625" customWidth="1"/>
    <col min="4" max="4" width="19.42578125" customWidth="1"/>
    <col min="6" max="6" width="12.5703125" customWidth="1"/>
    <col min="7" max="7" width="18.140625" customWidth="1"/>
  </cols>
  <sheetData>
    <row r="1" spans="1:2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44</v>
      </c>
    </row>
    <row r="2" spans="1:22" x14ac:dyDescent="0.25">
      <c r="A2" t="str">
        <f>B1</f>
        <v>channel</v>
      </c>
      <c r="B2" t="s">
        <v>6</v>
      </c>
      <c r="C2">
        <v>200</v>
      </c>
      <c r="D2">
        <v>600</v>
      </c>
      <c r="E2">
        <v>120</v>
      </c>
      <c r="F2">
        <v>20</v>
      </c>
      <c r="G2">
        <f>(D2-C2)/C2</f>
        <v>2</v>
      </c>
    </row>
    <row r="3" spans="1:22" x14ac:dyDescent="0.25">
      <c r="A3" t="s">
        <v>15</v>
      </c>
      <c r="B3" t="s">
        <v>7</v>
      </c>
      <c r="C3">
        <v>300</v>
      </c>
      <c r="D3">
        <v>900</v>
      </c>
      <c r="E3">
        <v>150</v>
      </c>
      <c r="F3">
        <v>25</v>
      </c>
      <c r="G3">
        <f>(D3-C3)/C3</f>
        <v>2</v>
      </c>
      <c r="T3" t="s">
        <v>0</v>
      </c>
      <c r="U3" t="s">
        <v>2</v>
      </c>
      <c r="V3" t="s">
        <v>3</v>
      </c>
    </row>
    <row r="4" spans="1:22" x14ac:dyDescent="0.25">
      <c r="A4" t="s">
        <v>16</v>
      </c>
      <c r="B4" t="s">
        <v>8</v>
      </c>
      <c r="C4">
        <v>150</v>
      </c>
      <c r="D4">
        <v>400</v>
      </c>
      <c r="E4">
        <v>90</v>
      </c>
      <c r="F4">
        <v>15</v>
      </c>
      <c r="G4">
        <f>(D4-C4)/C4</f>
        <v>1.6666666666666667</v>
      </c>
      <c r="T4" t="s">
        <v>11</v>
      </c>
      <c r="U4">
        <v>200</v>
      </c>
      <c r="V4">
        <v>600</v>
      </c>
    </row>
    <row r="5" spans="1:22" x14ac:dyDescent="0.25">
      <c r="A5" t="s">
        <v>17</v>
      </c>
      <c r="B5" t="s">
        <v>9</v>
      </c>
      <c r="C5">
        <v>100</v>
      </c>
      <c r="D5">
        <v>350</v>
      </c>
      <c r="E5">
        <v>70</v>
      </c>
      <c r="F5">
        <v>10</v>
      </c>
      <c r="G5">
        <f>(D5-C5)/C5</f>
        <v>2.5</v>
      </c>
      <c r="T5" t="s">
        <v>15</v>
      </c>
      <c r="U5">
        <v>300</v>
      </c>
      <c r="V5">
        <v>900</v>
      </c>
    </row>
    <row r="6" spans="1:22" x14ac:dyDescent="0.25">
      <c r="A6" t="s">
        <v>18</v>
      </c>
      <c r="B6" t="s">
        <v>10</v>
      </c>
      <c r="C6">
        <v>250</v>
      </c>
      <c r="D6">
        <v>700</v>
      </c>
      <c r="E6">
        <v>110</v>
      </c>
      <c r="F6">
        <v>18</v>
      </c>
      <c r="G6">
        <f>(D6-C6)/C6</f>
        <v>1.8</v>
      </c>
      <c r="T6" t="s">
        <v>16</v>
      </c>
      <c r="U6">
        <v>150</v>
      </c>
      <c r="V6">
        <v>400</v>
      </c>
    </row>
    <row r="7" spans="1:22" x14ac:dyDescent="0.25">
      <c r="A7" t="s">
        <v>19</v>
      </c>
      <c r="B7" t="s">
        <v>6</v>
      </c>
      <c r="C7">
        <v>220</v>
      </c>
      <c r="D7">
        <v>650</v>
      </c>
      <c r="E7">
        <v>130</v>
      </c>
      <c r="F7">
        <v>21</v>
      </c>
      <c r="G7">
        <f>(D7-C7)/C7</f>
        <v>1.9545454545454546</v>
      </c>
      <c r="T7" t="s">
        <v>17</v>
      </c>
      <c r="U7">
        <v>100</v>
      </c>
      <c r="V7">
        <v>350</v>
      </c>
    </row>
    <row r="8" spans="1:22" x14ac:dyDescent="0.25">
      <c r="A8" t="s">
        <v>13</v>
      </c>
      <c r="B8" t="s">
        <v>7</v>
      </c>
      <c r="C8">
        <v>320</v>
      </c>
      <c r="D8">
        <v>1000</v>
      </c>
      <c r="E8">
        <v>160</v>
      </c>
      <c r="F8">
        <v>30</v>
      </c>
      <c r="G8">
        <f>(D8-C8)/C8</f>
        <v>2.125</v>
      </c>
      <c r="T8" t="s">
        <v>18</v>
      </c>
      <c r="U8">
        <v>250</v>
      </c>
      <c r="V8">
        <v>700</v>
      </c>
    </row>
    <row r="9" spans="1:22" x14ac:dyDescent="0.25">
      <c r="A9" t="s">
        <v>14</v>
      </c>
      <c r="B9" t="s">
        <v>8</v>
      </c>
      <c r="C9">
        <v>180</v>
      </c>
      <c r="D9">
        <v>500</v>
      </c>
      <c r="E9">
        <v>95</v>
      </c>
      <c r="F9">
        <v>17</v>
      </c>
      <c r="G9">
        <f>(D9-C9)/C9</f>
        <v>1.7777777777777777</v>
      </c>
      <c r="T9" t="s">
        <v>19</v>
      </c>
      <c r="U9">
        <v>220</v>
      </c>
      <c r="V9">
        <v>650</v>
      </c>
    </row>
    <row r="10" spans="1:22" x14ac:dyDescent="0.25">
      <c r="A10" t="s">
        <v>12</v>
      </c>
      <c r="B10" t="s">
        <v>9</v>
      </c>
      <c r="C10">
        <v>120</v>
      </c>
      <c r="D10">
        <v>360</v>
      </c>
      <c r="E10">
        <v>80</v>
      </c>
      <c r="F10">
        <v>12</v>
      </c>
      <c r="G10">
        <f>(D10-C10)/C10</f>
        <v>2</v>
      </c>
      <c r="T10" t="s">
        <v>13</v>
      </c>
      <c r="U10">
        <v>320</v>
      </c>
      <c r="V10">
        <v>1000</v>
      </c>
    </row>
    <row r="11" spans="1:22" x14ac:dyDescent="0.25">
      <c r="A11" t="s">
        <v>20</v>
      </c>
      <c r="B11" t="s">
        <v>10</v>
      </c>
      <c r="C11">
        <v>260</v>
      </c>
      <c r="D11">
        <v>750</v>
      </c>
      <c r="E11">
        <v>115</v>
      </c>
      <c r="F11">
        <v>20</v>
      </c>
      <c r="G11">
        <f>(D11-C11)/C11</f>
        <v>1.8846153846153846</v>
      </c>
      <c r="T11" t="s">
        <v>14</v>
      </c>
      <c r="U11">
        <v>180</v>
      </c>
      <c r="V11">
        <v>500</v>
      </c>
    </row>
    <row r="12" spans="1:22" x14ac:dyDescent="0.25">
      <c r="A12" t="s">
        <v>21</v>
      </c>
      <c r="B12" t="s">
        <v>6</v>
      </c>
      <c r="C12">
        <v>210</v>
      </c>
      <c r="D12">
        <v>620</v>
      </c>
      <c r="E12">
        <v>170</v>
      </c>
      <c r="F12">
        <v>22</v>
      </c>
      <c r="G12">
        <f>(D12-C12)/C12</f>
        <v>1.9523809523809523</v>
      </c>
      <c r="T12" t="s">
        <v>12</v>
      </c>
      <c r="U12">
        <v>120</v>
      </c>
      <c r="V12">
        <v>360</v>
      </c>
    </row>
    <row r="13" spans="1:22" x14ac:dyDescent="0.25">
      <c r="A13" t="s">
        <v>22</v>
      </c>
      <c r="B13" t="s">
        <v>7</v>
      </c>
      <c r="C13">
        <v>330</v>
      </c>
      <c r="D13">
        <v>1050</v>
      </c>
      <c r="E13">
        <v>100</v>
      </c>
      <c r="F13">
        <v>31</v>
      </c>
      <c r="G13">
        <f>(D13-C13)/C13</f>
        <v>2.1818181818181817</v>
      </c>
      <c r="T13" t="s">
        <v>20</v>
      </c>
      <c r="U13">
        <v>260</v>
      </c>
      <c r="V13">
        <v>750</v>
      </c>
    </row>
    <row r="14" spans="1:22" x14ac:dyDescent="0.25">
      <c r="A14" t="s">
        <v>23</v>
      </c>
      <c r="B14" t="s">
        <v>8</v>
      </c>
      <c r="C14">
        <v>170</v>
      </c>
      <c r="D14">
        <v>480</v>
      </c>
      <c r="E14">
        <v>75</v>
      </c>
      <c r="F14">
        <v>16</v>
      </c>
      <c r="G14">
        <f>(D14-C14)/C14</f>
        <v>1.8235294117647058</v>
      </c>
      <c r="T14" t="s">
        <v>21</v>
      </c>
      <c r="U14">
        <v>210</v>
      </c>
      <c r="V14">
        <v>620</v>
      </c>
    </row>
    <row r="15" spans="1:22" x14ac:dyDescent="0.25">
      <c r="A15" t="s">
        <v>24</v>
      </c>
      <c r="B15" t="s">
        <v>9</v>
      </c>
      <c r="C15">
        <v>110</v>
      </c>
      <c r="D15">
        <v>370</v>
      </c>
      <c r="E15">
        <v>108</v>
      </c>
      <c r="F15">
        <v>11</v>
      </c>
      <c r="G15">
        <f>(D15-C15)/C15</f>
        <v>2.3636363636363638</v>
      </c>
      <c r="T15" t="s">
        <v>22</v>
      </c>
      <c r="U15">
        <v>330</v>
      </c>
      <c r="V15">
        <v>1050</v>
      </c>
    </row>
    <row r="16" spans="1:22" x14ac:dyDescent="0.25">
      <c r="A16" t="s">
        <v>25</v>
      </c>
      <c r="B16" t="s">
        <v>10</v>
      </c>
      <c r="C16">
        <v>255</v>
      </c>
      <c r="D16">
        <v>710</v>
      </c>
      <c r="E16">
        <v>118</v>
      </c>
      <c r="F16">
        <v>19</v>
      </c>
      <c r="G16">
        <f>(D16-C16)/C16</f>
        <v>1.7843137254901962</v>
      </c>
      <c r="T16" t="s">
        <v>23</v>
      </c>
      <c r="U16">
        <v>170</v>
      </c>
      <c r="V16">
        <v>480</v>
      </c>
    </row>
    <row r="17" spans="1:22" x14ac:dyDescent="0.25">
      <c r="A17" t="s">
        <v>26</v>
      </c>
      <c r="B17" t="s">
        <v>6</v>
      </c>
      <c r="C17">
        <v>205</v>
      </c>
      <c r="D17">
        <v>610</v>
      </c>
      <c r="E17">
        <v>155</v>
      </c>
      <c r="F17">
        <v>20</v>
      </c>
      <c r="G17">
        <f>(D16-C16)/C16</f>
        <v>1.7843137254901962</v>
      </c>
      <c r="T17" t="s">
        <v>24</v>
      </c>
      <c r="U17">
        <v>110</v>
      </c>
      <c r="V17">
        <v>370</v>
      </c>
    </row>
    <row r="18" spans="1:22" x14ac:dyDescent="0.25">
      <c r="A18" t="s">
        <v>27</v>
      </c>
      <c r="B18" t="s">
        <v>7</v>
      </c>
      <c r="C18">
        <v>315</v>
      </c>
      <c r="D18">
        <v>980</v>
      </c>
      <c r="E18">
        <v>102</v>
      </c>
      <c r="F18">
        <v>28</v>
      </c>
      <c r="G18">
        <f>(D18-C18)/C18</f>
        <v>2.1111111111111112</v>
      </c>
      <c r="T18" t="s">
        <v>25</v>
      </c>
      <c r="U18">
        <v>255</v>
      </c>
      <c r="V18">
        <v>710</v>
      </c>
    </row>
    <row r="19" spans="1:22" x14ac:dyDescent="0.25">
      <c r="A19" t="s">
        <v>28</v>
      </c>
      <c r="B19" t="s">
        <v>8</v>
      </c>
      <c r="C19">
        <v>175</v>
      </c>
      <c r="D19">
        <v>490</v>
      </c>
      <c r="E19">
        <v>82</v>
      </c>
      <c r="F19">
        <v>17</v>
      </c>
      <c r="G19">
        <f>(D19-C19)/C19</f>
        <v>1.8</v>
      </c>
      <c r="T19" t="s">
        <v>26</v>
      </c>
      <c r="U19">
        <v>205</v>
      </c>
      <c r="V19">
        <v>610</v>
      </c>
    </row>
    <row r="20" spans="1:22" x14ac:dyDescent="0.25">
      <c r="A20" t="s">
        <v>29</v>
      </c>
      <c r="B20" t="s">
        <v>9</v>
      </c>
      <c r="C20">
        <v>115</v>
      </c>
      <c r="D20">
        <v>365</v>
      </c>
      <c r="E20">
        <v>120</v>
      </c>
      <c r="F20">
        <v>13</v>
      </c>
      <c r="G20">
        <f>(D19-C19)/C19</f>
        <v>1.8</v>
      </c>
      <c r="T20" t="s">
        <v>27</v>
      </c>
      <c r="U20">
        <v>315</v>
      </c>
      <c r="V20">
        <v>980</v>
      </c>
    </row>
    <row r="21" spans="1:22" x14ac:dyDescent="0.25">
      <c r="A21" t="s">
        <v>30</v>
      </c>
      <c r="B21" t="s">
        <v>10</v>
      </c>
      <c r="C21">
        <v>270</v>
      </c>
      <c r="D21">
        <v>780</v>
      </c>
      <c r="E21">
        <v>125</v>
      </c>
      <c r="F21">
        <v>21</v>
      </c>
      <c r="G21">
        <f>(D21-C21)/C21</f>
        <v>1.8888888888888888</v>
      </c>
      <c r="T21" t="s">
        <v>28</v>
      </c>
      <c r="U21">
        <v>175</v>
      </c>
      <c r="V21">
        <v>490</v>
      </c>
    </row>
    <row r="22" spans="1:22" x14ac:dyDescent="0.25">
      <c r="T22" t="s">
        <v>29</v>
      </c>
      <c r="U22">
        <v>115</v>
      </c>
      <c r="V22">
        <v>365</v>
      </c>
    </row>
    <row r="23" spans="1:22" x14ac:dyDescent="0.25">
      <c r="A23" t="s">
        <v>31</v>
      </c>
      <c r="B23">
        <f>SUM(C2:C21)</f>
        <v>4255</v>
      </c>
      <c r="T23" t="s">
        <v>30</v>
      </c>
      <c r="U23">
        <v>270</v>
      </c>
      <c r="V23">
        <v>780</v>
      </c>
    </row>
    <row r="24" spans="1:22" x14ac:dyDescent="0.25">
      <c r="A24" t="s">
        <v>32</v>
      </c>
      <c r="B24">
        <f>SUM(D2:D21)</f>
        <v>12665</v>
      </c>
    </row>
    <row r="25" spans="1:22" x14ac:dyDescent="0.25">
      <c r="A25" t="s">
        <v>33</v>
      </c>
      <c r="B25">
        <f>AVERAGE(D2:D21)</f>
        <v>633.25</v>
      </c>
    </row>
    <row r="26" spans="1:22" x14ac:dyDescent="0.25">
      <c r="A26" t="s">
        <v>34</v>
      </c>
      <c r="B26">
        <f>SUM(E2:E21)</f>
        <v>2275</v>
      </c>
    </row>
    <row r="27" spans="1:22" x14ac:dyDescent="0.25">
      <c r="A27" t="s">
        <v>35</v>
      </c>
      <c r="B27">
        <f>SUM(F2:F21)</f>
        <v>386</v>
      </c>
    </row>
    <row r="28" spans="1:22" x14ac:dyDescent="0.25">
      <c r="A28" t="s">
        <v>36</v>
      </c>
      <c r="B28">
        <f>MAX(D2:D21)</f>
        <v>1050</v>
      </c>
    </row>
    <row r="29" spans="1:22" x14ac:dyDescent="0.25">
      <c r="A29" t="s">
        <v>37</v>
      </c>
      <c r="B29">
        <f>MIN(C2:C21)</f>
        <v>100</v>
      </c>
    </row>
  </sheetData>
  <conditionalFormatting sqref="D2:D21">
    <cfRule type="top10" dxfId="26" priority="17" rank="1"/>
    <cfRule type="cellIs" dxfId="25" priority="14" operator="greaterThan">
      <formula>700</formula>
    </cfRule>
    <cfRule type="cellIs" dxfId="24" priority="5" operator="greaterThan">
      <formula>900</formula>
    </cfRule>
    <cfRule type="top10" dxfId="23" priority="3" rank="1"/>
    <cfRule type="top10" dxfId="22" priority="2" rank="1"/>
  </conditionalFormatting>
  <conditionalFormatting sqref="C2:C21">
    <cfRule type="top10" dxfId="21" priority="16" bottom="1" rank="1"/>
    <cfRule type="cellIs" dxfId="20" priority="4" operator="lessThan">
      <formula>150</formula>
    </cfRule>
  </conditionalFormatting>
  <conditionalFormatting sqref="B2:B21">
    <cfRule type="containsText" dxfId="19" priority="15" operator="containsText" text="facebook">
      <formula>NOT(ISERROR(SEARCH("facebook",B2)))</formula>
    </cfRule>
  </conditionalFormatting>
  <conditionalFormatting sqref="V4:V23">
    <cfRule type="top10" dxfId="18" priority="12" bottom="1" rank="1"/>
  </conditionalFormatting>
  <conditionalFormatting sqref="V4:V23">
    <cfRule type="cellIs" dxfId="17" priority="7" operator="greaterThan">
      <formula>700</formula>
    </cfRule>
    <cfRule type="top10" dxfId="16" priority="9" rank="1"/>
  </conditionalFormatting>
  <conditionalFormatting sqref="U4:U23">
    <cfRule type="top10" dxfId="15" priority="8" bottom="1" rank="1"/>
  </conditionalFormatting>
  <conditionalFormatting sqref="D1:D21">
    <cfRule type="cellIs" dxfId="14" priority="6" operator="greaterThan">
      <formula>900</formula>
    </cfRule>
  </conditionalFormatting>
  <conditionalFormatting sqref="G2:G21">
    <cfRule type="cellIs" dxfId="0" priority="1" operator="greaterThan">
      <formula>2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Sheet3</vt:lpstr>
      <vt:lpstr>Sheet4</vt:lpstr>
      <vt:lpstr>Sheet5</vt:lpstr>
      <vt:lpstr>Sheet6</vt:lpstr>
      <vt:lpstr>Sheet7</vt:lpstr>
      <vt:lpstr>Sheet8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2026-04-21T20:20:56Z</dcterms:created>
  <dcterms:modified xsi:type="dcterms:W3CDTF">2026-04-22T10:11:39Z</dcterms:modified>
</cp:coreProperties>
</file>